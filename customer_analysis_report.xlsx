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تفاصيل_المبيعات" sheetId="2" state="visible" r:id="rId4"/>
    <sheet name="أفضل_5_عملاء" sheetId="3" state="visible" r:id="rId5"/>
    <sheet name="عملاء_بدون_شراء" sheetId="4" state="visible" r:id="rId6"/>
    <sheet name="متوسط_الشراء" sheetId="5" state="visible" r:id="rId7"/>
    <sheet name="ترتيب_داخل_المدن" sheetId="6" state="visible" r:id="rId8"/>
    <sheet name="الاتجاه_الشهري" sheetId="7" state="visible" r:id="rId9"/>
    <sheet name="الاتجاه_اليومي" sheetId="8" state="visible" r:id="rId10"/>
    <sheet name="أفضل_الفئات" sheetId="9" state="visible" r:id="rId11"/>
    <sheet name="التسجيل_والإنفاق" sheetId="10" state="visible" r:id="rId12"/>
    <sheet name="العملاء_المتكررون" sheetId="11" state="visible" r:id="rId13"/>
    <sheet name="الإيراد_حسب_المدينة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<sst xmlns="http://schemas.openxmlformats.org/spreadsheetml/2006/main" count="368" uniqueCount="123">
  <si>
    <t xml:space="preserve">ملخص تقرير تحليل العملاء والمبيعات</t>
  </si>
  <si>
    <t xml:space="preserve">المؤشر</t>
  </si>
  <si>
    <t xml:space="preserve">القيمة</t>
  </si>
  <si>
    <t xml:space="preserve">ملاحظة</t>
  </si>
  <si>
    <t xml:space="preserve">إجمالي الإيراد</t>
  </si>
  <si>
    <t xml:space="preserve">الكمية × سعر المنتج</t>
  </si>
  <si>
    <t xml:space="preserve">عدد عمليات البيع</t>
  </si>
  <si>
    <t xml:space="preserve">متوسط قيمة العملية</t>
  </si>
  <si>
    <t xml:space="preserve">المتوسط العام لقيمة الشراء</t>
  </si>
  <si>
    <t xml:space="preserve">إجمالي العملاء</t>
  </si>
  <si>
    <t xml:space="preserve">عملاء بدون أي شراء</t>
  </si>
  <si>
    <t xml:space="preserve">مرشحون لحملة تسويقية</t>
  </si>
  <si>
    <t xml:space="preserve">العملاء المتكررون (أكثر من شراء)</t>
  </si>
  <si>
    <t xml:space="preserve">نسبة العملاء المتكررين</t>
  </si>
  <si>
    <t xml:space="preserve">من إجمالي العملاء</t>
  </si>
  <si>
    <t xml:space="preserve">حصة أفضل 5 عملاء من الإيراد</t>
  </si>
  <si>
    <t xml:space="preserve">تركّز الإيراد</t>
  </si>
  <si>
    <t xml:space="preserve">الملخص التنفيذي</t>
  </si>
  <si>
    <t xml:space="preserve">1) حقق المتجر إيراداً إجمالياً قدره 10,037 من 30 عملية بيع بين 2026-09-01 و 2026-09-15، بمتوسط 335 للعملية الواحدة.</t>
  </si>
  <si>
    <t xml:space="preserve">2) الإيراد مركّز في عدد قليل من العملاء: أفضل 5 عملاء يشكّلون 74% من الإيراد، وأفضل عميل (أحمد الخطيب) وحده يشكّل 32%. وفقط 3 من أصل 13 عملاء يتجاوز متوسط قيمة شرائه المتوسط العام.</t>
  </si>
  <si>
    <t xml:space="preserve">3) فئة (إلكترونيات) هي المحرك الأساسي للإيراد بنسبة 75%، بينما فئة (قرطاسية) الأعلى في عدد الوحدات المباعة (100 وحدة) لكنها قيمتها ضعيفة.</t>
  </si>
  <si>
    <t xml:space="preserve">4) ولاء العملاء جيد: 10 من أصل 15 عميلاً (67%) اشتروا أكثر من مرة، في المقابل لدينا 2 من العملاء المسجلين لم يشتروا إطلاقاً (نور الخوالدة، فادي العجلوني).</t>
  </si>
  <si>
    <t xml:space="preserve">5) مدينة عمان تقود المبيعات بنسبة 52% من الإيراد.</t>
  </si>
  <si>
    <t xml:space="preserve">6) أعلى يوم مبيعات كان 2026-09-11 بنسبة 21% من إيراد الفترة، وسببه صفقة واحدة كبيرة، أي أن الإيراد اليومي متذبذب ويعتمد على عدد قليل من الصفقات.</t>
  </si>
  <si>
    <t xml:space="preserve">7) العملاء الأقدم يميلون إلى إنفاق أكبر (معامل الارتباط 0.67)، لكن جزءاً من ذلك سببه أنهم مسجلون منذ فترة أطول؛ حجم البيانات صغير ولا يكفي للجزم.</t>
  </si>
  <si>
    <t xml:space="preserve">توصية: إطلاق برنامج ولاء خاص لأفضل 5 عملاء لحمايتهم لأنهم يشكّلون الجزء الأكبر من الإيراد، وحملة تسويقية موجّهة للعملاء الذين لم يشتروا، مع عروض على الإلكترونيات المكمّلة (ملحقات الحاسوب) لرفع قيمة الشراء.</t>
  </si>
  <si>
    <t xml:space="preserve">ملاحظة: بيانات المبيعات تغطي شهراً واحداً فقط (سبتمبر 2026)، لذلك الاتجاه الشهري يحتوي نقطة واحدة، وتم دعمه بالاتجاه اليومي.</t>
  </si>
  <si>
    <t xml:space="preserve">رقم_العملية</t>
  </si>
  <si>
    <t xml:space="preserve">التاريخ</t>
  </si>
  <si>
    <t xml:space="preserve">اسم_العميل</t>
  </si>
  <si>
    <t xml:space="preserve">المدينة</t>
  </si>
  <si>
    <t xml:space="preserve">المنتج</t>
  </si>
  <si>
    <t xml:space="preserve">الفئة</t>
  </si>
  <si>
    <t xml:space="preserve">الكمية</t>
  </si>
  <si>
    <t xml:space="preserve">سعر_الوحدة</t>
  </si>
  <si>
    <t xml:space="preserve">قيمة_العملية</t>
  </si>
  <si>
    <t xml:space="preserve">2026-09-01</t>
  </si>
  <si>
    <t xml:space="preserve">أحمد الخطيب</t>
  </si>
  <si>
    <t xml:space="preserve">عمان</t>
  </si>
  <si>
    <t xml:space="preserve">Laptop</t>
  </si>
  <si>
    <t xml:space="preserve">إلكترونيات</t>
  </si>
  <si>
    <t xml:space="preserve">عمر الشريف</t>
  </si>
  <si>
    <t xml:space="preserve">الزرقاء</t>
  </si>
  <si>
    <t xml:space="preserve">Mouse</t>
  </si>
  <si>
    <t xml:space="preserve">2026-09-02</t>
  </si>
  <si>
    <t xml:space="preserve">دينا العمري</t>
  </si>
  <si>
    <t xml:space="preserve">إربد</t>
  </si>
  <si>
    <t xml:space="preserve">Keyboard</t>
  </si>
  <si>
    <t xml:space="preserve">ليلى الحسن</t>
  </si>
  <si>
    <t xml:space="preserve">Headphones</t>
  </si>
  <si>
    <t xml:space="preserve">2026-09-03</t>
  </si>
  <si>
    <t xml:space="preserve">رنا القاسم</t>
  </si>
  <si>
    <t xml:space="preserve">Monitor</t>
  </si>
  <si>
    <t xml:space="preserve">محمد العبدالله</t>
  </si>
  <si>
    <t xml:space="preserve">Desk</t>
  </si>
  <si>
    <t xml:space="preserve">أثاث</t>
  </si>
  <si>
    <t xml:space="preserve">2026-09-04</t>
  </si>
  <si>
    <t xml:space="preserve">مها الشرع</t>
  </si>
  <si>
    <t xml:space="preserve">Chair</t>
  </si>
  <si>
    <t xml:space="preserve">Notebook</t>
  </si>
  <si>
    <t xml:space="preserve">قرطاسية</t>
  </si>
  <si>
    <t xml:space="preserve">2026-09-05</t>
  </si>
  <si>
    <t xml:space="preserve">سارة النجار</t>
  </si>
  <si>
    <t xml:space="preserve">Pen Set</t>
  </si>
  <si>
    <t xml:space="preserve">طارق الرواشدة</t>
  </si>
  <si>
    <t xml:space="preserve">Printer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</si>
  <si>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</si>
  <si>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</si>
  <si>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</si>
  <si>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</si>
  <si>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هدى الزعبي</t>
  </si>
  <si>
    <t xml:space="preserve">2026-09-10</t>
  </si>
  <si>
    <t xml:space="preserve">زيد المومني</t>
  </si>
  <si>
    <t xml:space="preserve">يوسف الحداد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</si>
  <si>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</si>
  <si>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</si>
  <si>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</si>
  <si>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</si>
  <si>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</si>
  <si>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خالد المصري</t>
  </si>
  <si>
    <t xml:space="preserve">رقم_العميل</t>
  </si>
  <si>
    <t xml:space="preserve">عدد_المشتريات</t>
  </si>
  <si>
    <t xml:space="preserve">إجمالي_الإنفاق</t>
  </si>
  <si>
    <t xml:space="preserve">تاريخ_التسجيل</t>
  </si>
  <si>
    <t xml:space="preserve">نور الخوالدة</t>
  </si>
  <si>
    <t xml:space="preserve">2026-04-12</t>
  </si>
  <si>
    <t xml:space="preserve">فادي العجلوني</t>
  </si>
  <si>
    <t xml:space="preserve">2026-08-25</t>
  </si>
  <si>
    <t xml:space="preserve">متوسط_قيمة_الشراء</t>
  </si>
  <si>
    <t xml:space="preserve">المتوسط_العام</t>
  </si>
  <si>
    <t xml:space="preserve">الفرق_عن_المتوسط</t>
  </si>
  <si>
    <t xml:space="preserve">الحالة</t>
  </si>
  <si>
    <t xml:space="preserve">أعلى من المتوسط</t>
  </si>
  <si>
    <t xml:space="preserve">أقل من المتوسط</t>
  </si>
  <si>
    <t xml:space="preserve">الترتيب_داخل_المدينة</t>
  </si>
  <si>
    <t xml:space="preserve">الشهر</t>
  </si>
  <si>
    <t xml:space="preserve">عدد_العمليات</t>
  </si>
  <si>
    <t xml:space="preserve">إجمالي_الكمية</t>
  </si>
  <si>
    <t xml:space="preserve">إجمالي_الإيراد</t>
  </si>
  <si>
    <t xml:space="preserve">2026-09</t>
  </si>
  <si>
    <t xml:space="preserve">إيراد_اليوم</t>
  </si>
  <si>
    <t xml:space="preserve">الإيراد_التراكمي</t>
  </si>
  <si>
    <t xml:space="preserve">النسبة_من_الإيراد</t>
  </si>
  <si>
    <t xml:space="preserve">عدد_الأيام_منذ_التسجيل</t>
  </si>
  <si>
    <t xml:space="preserve">2025-01-15</t>
  </si>
  <si>
    <t xml:space="preserve">2025-01-30</t>
  </si>
  <si>
    <t xml:space="preserve">2025-02-09</t>
  </si>
  <si>
    <t xml:space="preserve">2025-03-10</t>
  </si>
  <si>
    <t xml:space="preserve">2025-04-27</t>
  </si>
  <si>
    <t xml:space="preserve">2025-05-22</t>
  </si>
  <si>
    <t xml:space="preserve">2025-06-18</t>
  </si>
  <si>
    <t xml:space="preserve">2025-07-04</t>
  </si>
  <si>
    <t xml:space="preserve">2025-09-13</t>
  </si>
  <si>
    <t xml:space="preserve">2025-11-05</t>
  </si>
  <si>
    <t xml:space="preserve">2026-02-18</t>
  </si>
  <si>
    <t xml:space="preserve">2026-06-01</t>
  </si>
  <si>
    <t xml:space="preserve">2026-07-21</t>
  </si>
  <si>
    <t xml:space="preserve">إجمالي_العملاء</t>
  </si>
  <si>
    <t xml:space="preserve">عملاء_بدون_شراء</t>
  </si>
  <si>
    <t xml:space="preserve">عملاء_اشتروا_مرة_واحدة</t>
  </si>
  <si>
    <t xml:space="preserve">العملاء_المتكررون</t>
  </si>
  <si>
    <t xml:space="preserve">نسبة_المتكررين_من_الكل</t>
  </si>
  <si>
    <t xml:space="preserve">عدد_العملاء_المشترين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</si>
</sst>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f aca="false">SUM(تفاصيل_المبيعات!I2:I31)</f>
        <v>10037</v>
      </c>
      <c r="C4" s="3" t="s">
        <v>5</v>
      </c>
    </row>
    <row r="5" customFormat="false" ht="15" hidden="false" customHeight="false" outlineLevel="0" collapsed="false">
      <c r="A5" s="3" t="s">
        <v>6</v>
      </c>
      <c r="B5" s="5" t="n">
        <f aca="false">COUNTA(تفاصيل_المبيعات!A2:A31)</f>
        <v>30</v>
      </c>
      <c r="C5" s="3"/>
    </row>
    <row r="6" customFormat="false" ht="15" hidden="false" customHeight="false" outlineLevel="0" collapsed="false">
      <c r="A6" s="3" t="s">
        <v>7</v>
      </c>
      <c r="B6" s="4" t="n">
        <f aca="false">AVERAGE(تفاصيل_المبيعات!I2:I31)</f>
        <v>334.566666666667</v>
      </c>
      <c r="C6" s="3" t="s">
        <v>8</v>
      </c>
    </row>
    <row r="7" customFormat="false" ht="15" hidden="false" customHeight="false" outlineLevel="0" collapsed="false">
      <c r="A7" s="3" t="s">
        <v>9</v>
      </c>
      <c r="B7" s="5" t="n">
        <f aca="false">COUNTA(التسجيل_والإنفاق!A2:A16)</f>
        <v>15</v>
      </c>
      <c r="C7" s="3"/>
    </row>
    <row r="8" customFormat="false" ht="15" hidden="false" customHeight="false" outlineLevel="0" collapsed="false">
      <c r="A8" s="3" t="s">
        <v>10</v>
      </c>
      <c r="B8" s="5" t="n">
        <f aca="false">COUNTIF(التسجيل_والإنفاق!E2:E16,0)</f>
        <v>2</v>
      </c>
      <c r="C8" s="3" t="s">
        <v>11</v>
      </c>
    </row>
    <row r="9" customFormat="false" ht="15" hidden="false" customHeight="false" outlineLevel="0" collapsed="false">
      <c r="A9" s="3" t="s">
        <v>12</v>
      </c>
      <c r="B9" s="5" t="n">
        <f aca="false">COUNTIF(التسجيل_والإنفاق!E2:E16,"&gt;1")</f>
        <v>10</v>
      </c>
      <c r="C9" s="3"/>
    </row>
    <row r="10" customFormat="false" ht="15" hidden="false" customHeight="false" outlineLevel="0" collapsed="false">
      <c r="A10" s="3" t="s">
        <v>13</v>
      </c>
      <c r="B10" s="6" t="n">
        <f aca="false">B9/B7</f>
        <v>0.666666666666667</v>
      </c>
      <c r="C10" s="3" t="s">
        <v>14</v>
      </c>
    </row>
    <row r="11" customFormat="false" ht="15" hidden="false" customHeight="false" outlineLevel="0" collapsed="false">
      <c r="A11" s="3" t="s">
        <v>15</v>
      </c>
      <c r="B11" s="6" t="n">
        <f aca="false">SUM(أفضل_5_عملاء!E2:E6)/B4</f>
        <v>0.738069144166584</v>
      </c>
      <c r="C11" s="3" t="s">
        <v>16</v>
      </c>
    </row>
    <row r="14" customFormat="false" ht="16.15" hidden="false" customHeight="false" outlineLevel="0" collapsed="false">
      <c r="A14" s="7" t="s">
        <v>17</v>
      </c>
    </row>
    <row r="15" customFormat="false" ht="48" hidden="false" customHeight="true" outlineLevel="0" collapsed="false">
      <c r="A15" s="8" t="s">
        <v>18</v>
      </c>
      <c r="B15" s="8"/>
      <c r="C15" s="8"/>
    </row>
    <row r="16" customFormat="false" ht="48" hidden="false" customHeight="true" outlineLevel="0" collapsed="false">
      <c r="A16" s="8" t="s">
        <v>19</v>
      </c>
      <c r="B16" s="8"/>
      <c r="C16" s="8"/>
    </row>
    <row r="17" customFormat="false" ht="48" hidden="false" customHeight="true" outlineLevel="0" collapsed="false">
      <c r="A17" s="8" t="s">
        <v>20</v>
      </c>
      <c r="B17" s="8"/>
      <c r="C17" s="8"/>
    </row>
    <row r="18" customFormat="false" ht="48" hidden="false" customHeight="true" outlineLevel="0" collapsed="false">
      <c r="A18" s="8" t="s">
        <v>21</v>
      </c>
      <c r="B18" s="8"/>
      <c r="C18" s="8"/>
    </row>
    <row r="19" customFormat="false" ht="48" hidden="false" customHeight="true" outlineLevel="0" collapsed="false">
      <c r="A19" s="8" t="s">
        <v>22</v>
      </c>
      <c r="B19" s="8"/>
      <c r="C19" s="8"/>
    </row>
    <row r="20" customFormat="false" ht="48" hidden="false" customHeight="true" outlineLevel="0" collapsed="false">
      <c r="A20" s="8" t="s">
        <v>23</v>
      </c>
      <c r="B20" s="8"/>
      <c r="C20" s="8"/>
    </row>
    <row r="21" customFormat="false" ht="48" hidden="false" customHeight="true" outlineLevel="0" collapsed="false">
      <c r="A21" s="8" t="s">
        <v>24</v>
      </c>
      <c r="B21" s="8"/>
      <c r="C21" s="8"/>
    </row>
    <row r="22" customFormat="false" ht="48" hidden="false" customHeight="true" outlineLevel="0" collapsed="false">
      <c r="A22" s="8" t="s">
        <v>25</v>
      </c>
      <c r="B22" s="8"/>
      <c r="C22" s="8"/>
    </row>
    <row r="23" customFormat="false" ht="48" hidden="false" customHeight="true" outlineLevel="0" collapsed="false">
      <c r="A23" s="8" t="s">
        <v>26</v>
      </c>
      <c r="B23" s="8"/>
      <c r="C23" s="8"/>
    </row>
  </sheetData>
  <mergeCells count="10">
    <mergeCell ref="A1:C1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</row>
    <row r="2" customFormat="false" ht="15" hidden="false" customHeight="false" outlineLevel="0" collapsed="false">
      <c r="A2" s="10" t="n">
        <v>1</v>
      </c>
      <c r="B2" s="10" t="s">
        <v>36</v>
      </c>
      <c r="C2" s="10" t="s">
        <v>37</v>
      </c>
      <c r="D2" s="10" t="s">
        <v>38</v>
      </c>
      <c r="E2" s="10" t="s">
        <v>39</v>
      </c>
      <c r="F2" s="10" t="s">
        <v>40</v>
      </c>
      <c r="G2" s="10" t="n">
        <v>2</v>
      </c>
      <c r="H2" s="11" t="n">
        <v>650</v>
      </c>
      <c r="I2" s="11" t="n">
        <v>1300</v>
      </c>
    </row>
    <row r="3" customFormat="false" ht="15" hidden="false" customHeight="false" outlineLevel="0" collapsed="false">
      <c r="A3" s="10" t="n">
        <v>2</v>
      </c>
      <c r="B3" s="10" t="s">
        <v>36</v>
      </c>
      <c r="C3" s="10" t="s">
        <v>41</v>
      </c>
      <c r="D3" s="10" t="s">
        <v>42</v>
      </c>
      <c r="E3" s="10" t="s">
        <v>43</v>
      </c>
      <c r="F3" s="10" t="s">
        <v>40</v>
      </c>
      <c r="G3" s="10" t="n">
        <v>8</v>
      </c>
      <c r="H3" s="11" t="n">
        <v>18.5</v>
      </c>
      <c r="I3" s="11" t="n">
        <v>148</v>
      </c>
    </row>
    <row r="4" customFormat="false" ht="15" hidden="false" customHeight="false" outlineLevel="0" collapsed="false">
      <c r="A4" s="10" t="n">
        <v>3</v>
      </c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40</v>
      </c>
      <c r="G4" s="10" t="n">
        <v>5</v>
      </c>
      <c r="H4" s="11" t="n">
        <v>42</v>
      </c>
      <c r="I4" s="11" t="n">
        <v>210</v>
      </c>
    </row>
    <row r="5" customFormat="false" ht="15" hidden="false" customHeight="false" outlineLevel="0" collapsed="false">
      <c r="A5" s="10" t="n">
        <v>4</v>
      </c>
      <c r="B5" s="10" t="s">
        <v>44</v>
      </c>
      <c r="C5" s="10" t="s">
        <v>48</v>
      </c>
      <c r="D5" s="10" t="s">
        <v>38</v>
      </c>
      <c r="E5" s="10" t="s">
        <v>49</v>
      </c>
      <c r="F5" s="10" t="s">
        <v>40</v>
      </c>
      <c r="G5" s="10" t="n">
        <v>3</v>
      </c>
      <c r="H5" s="11" t="n">
        <v>85</v>
      </c>
      <c r="I5" s="11" t="n">
        <v>255</v>
      </c>
    </row>
    <row r="6" customFormat="false" ht="15" hidden="false" customHeight="false" outlineLevel="0" collapsed="false">
      <c r="A6" s="10" t="n">
        <v>5</v>
      </c>
      <c r="B6" s="10" t="s">
        <v>50</v>
      </c>
      <c r="C6" s="10" t="s">
        <v>51</v>
      </c>
      <c r="D6" s="10" t="s">
        <v>42</v>
      </c>
      <c r="E6" s="10" t="s">
        <v>52</v>
      </c>
      <c r="F6" s="10" t="s">
        <v>40</v>
      </c>
      <c r="G6" s="10" t="n">
        <v>2</v>
      </c>
      <c r="H6" s="11" t="n">
        <v>180</v>
      </c>
      <c r="I6" s="11" t="n">
        <v>360</v>
      </c>
    </row>
    <row r="7" customFormat="false" ht="15" hidden="false" customHeight="false" outlineLevel="0" collapsed="false">
      <c r="A7" s="10" t="n">
        <v>6</v>
      </c>
      <c r="B7" s="10" t="s">
        <v>50</v>
      </c>
      <c r="C7" s="10" t="s">
        <v>53</v>
      </c>
      <c r="D7" s="10" t="s">
        <v>38</v>
      </c>
      <c r="E7" s="10" t="s">
        <v>54</v>
      </c>
      <c r="F7" s="10" t="s">
        <v>55</v>
      </c>
      <c r="G7" s="10" t="n">
        <v>1</v>
      </c>
      <c r="H7" s="11" t="n">
        <v>220</v>
      </c>
      <c r="I7" s="11" t="n">
        <v>220</v>
      </c>
    </row>
    <row r="8" customFormat="false" ht="15" hidden="false" customHeight="false" outlineLevel="0" collapsed="false">
      <c r="A8" s="10" t="n">
        <v>7</v>
      </c>
      <c r="B8" s="10" t="s">
        <v>56</v>
      </c>
      <c r="C8" s="10" t="s">
        <v>57</v>
      </c>
      <c r="D8" s="10" t="s">
        <v>46</v>
      </c>
      <c r="E8" s="10" t="s">
        <v>58</v>
      </c>
      <c r="F8" s="10" t="s">
        <v>55</v>
      </c>
      <c r="G8" s="10" t="n">
        <v>4</v>
      </c>
      <c r="H8" s="11" t="n">
        <v>95</v>
      </c>
      <c r="I8" s="11" t="n">
        <v>380</v>
      </c>
    </row>
    <row r="9" customFormat="false" ht="15" hidden="false" customHeight="false" outlineLevel="0" collapsed="false">
      <c r="A9" s="10" t="n">
        <v>8</v>
      </c>
      <c r="B9" s="10" t="s">
        <v>56</v>
      </c>
      <c r="C9" s="10" t="s">
        <v>41</v>
      </c>
      <c r="D9" s="10" t="s">
        <v>42</v>
      </c>
      <c r="E9" s="10" t="s">
        <v>59</v>
      </c>
      <c r="F9" s="10" t="s">
        <v>60</v>
      </c>
      <c r="G9" s="10" t="n">
        <v>20</v>
      </c>
      <c r="H9" s="11" t="n">
        <v>3.5</v>
      </c>
      <c r="I9" s="11" t="n">
        <v>70</v>
      </c>
    </row>
    <row r="10" customFormat="false" ht="15" hidden="false" customHeight="false" outlineLevel="0" collapsed="false">
      <c r="A10" s="10" t="n">
        <v>9</v>
      </c>
      <c r="B10" s="10" t="s">
        <v>61</v>
      </c>
      <c r="C10" s="10" t="s">
        <v>62</v>
      </c>
      <c r="D10" s="10" t="s">
        <v>38</v>
      </c>
      <c r="E10" s="10" t="s">
        <v>63</v>
      </c>
      <c r="F10" s="10" t="s">
        <v>60</v>
      </c>
      <c r="G10" s="10" t="n">
        <v>15</v>
      </c>
      <c r="H10" s="11" t="n">
        <v>7</v>
      </c>
      <c r="I10" s="11" t="n">
        <v>105</v>
      </c>
    </row>
    <row r="11" customFormat="false" ht="15" hidden="false" customHeight="false" outlineLevel="0" collapsed="false">
      <c r="A11" s="10" t="n">
        <v>10</v>
      </c>
      <c r="B11" s="10" t="s">
        <v>61</v>
      </c>
      <c r="C11" s="10" t="s">
        <v>64</v>
      </c>
      <c r="D11" s="10" t="s">
        <v>46</v>
      </c>
      <c r="E11" s="10" t="s">
        <v>65</v>
      </c>
      <c r="F11" s="10" t="s">
        <v>40</v>
      </c>
      <c r="G11" s="10" t="n">
        <v>2</v>
      </c>
      <c r="H11" s="11" t="n">
        <v>140</v>
      </c>
      <c r="I11" s="11" t="n">
        <v>280</v>
      </c>
    </row>
    <row r="12" customFormat="false" ht="15" hidden="false" customHeight="false" outlineLevel="0" collapsed="false">
      <c r="A12" s="10" t="n">
        <v>11</v>
      </c>
      <c r="B12" s="10" t="s">
        <v>66</v>
      </c>
      <c r="C12" s="10" t="s">
        <v>51</v>
      </c>
      <c r="D12" s="10" t="s">
        <v>42</v>
      </c>
      <c r="E12" s="10" t="s">
        <v>39</v>
      </c>
      <c r="F12" s="10" t="s">
        <v>40</v>
      </c>
      <c r="G12" s="10" t="n">
        <v>1</v>
      </c>
      <c r="H12" s="11" t="n">
        <v>650</v>
      </c>
      <c r="I12" s="11" t="n">
        <v>650</v>
      </c>
    </row>
    <row r="13" customFormat="false" ht="15" hidden="false" customHeight="false" outlineLevel="0" collapsed="false">
      <c r="A13" s="10" t="n">
        <v>12</v>
      </c>
      <c r="B13" s="10" t="s">
        <v>66</v>
      </c>
      <c r="C13" s="10" t="s">
        <v>48</v>
      </c>
      <c r="D13" s="10" t="s">
        <v>38</v>
      </c>
      <c r="E13" s="10" t="s">
        <v>43</v>
      </c>
      <c r="F13" s="10" t="s">
        <v>40</v>
      </c>
      <c r="G13" s="10" t="n">
        <v>10</v>
      </c>
      <c r="H13" s="11" t="n">
        <v>18.5</v>
      </c>
      <c r="I13" s="11" t="n">
        <v>185</v>
      </c>
    </row>
    <row r="14" customFormat="false" ht="15" hidden="false" customHeight="false" outlineLevel="0" collapsed="false">
      <c r="A14" s="10" t="n">
        <v>13</v>
      </c>
      <c r="B14" s="10" t="s">
        <v>67</v>
      </c>
      <c r="C14" s="10" t="s">
        <v>45</v>
      </c>
      <c r="D14" s="10" t="s">
        <v>46</v>
      </c>
      <c r="E14" s="10" t="s">
        <v>47</v>
      </c>
      <c r="F14" s="10" t="s">
        <v>40</v>
      </c>
      <c r="G14" s="10" t="n">
        <v>6</v>
      </c>
      <c r="H14" s="11" t="n">
        <v>42</v>
      </c>
      <c r="I14" s="11" t="n">
        <v>252</v>
      </c>
    </row>
    <row r="15" customFormat="false" ht="15" hidden="false" customHeight="false" outlineLevel="0" collapsed="false">
      <c r="A15" s="10" t="n">
        <v>14</v>
      </c>
      <c r="B15" s="10" t="s">
        <v>67</v>
      </c>
      <c r="C15" s="10" t="s">
        <v>51</v>
      </c>
      <c r="D15" s="10" t="s">
        <v>42</v>
      </c>
      <c r="E15" s="10" t="s">
        <v>49</v>
      </c>
      <c r="F15" s="10" t="s">
        <v>40</v>
      </c>
      <c r="G15" s="10" t="n">
        <v>4</v>
      </c>
      <c r="H15" s="11" t="n">
        <v>85</v>
      </c>
      <c r="I15" s="11" t="n">
        <v>340</v>
      </c>
    </row>
    <row r="16" customFormat="false" ht="15" hidden="false" customHeight="false" outlineLevel="0" collapsed="false">
      <c r="A16" s="10" t="n">
        <v>15</v>
      </c>
      <c r="B16" s="10" t="s">
        <v>68</v>
      </c>
      <c r="C16" s="10" t="s">
        <v>53</v>
      </c>
      <c r="D16" s="10" t="s">
        <v>38</v>
      </c>
      <c r="E16" s="10" t="s">
        <v>52</v>
      </c>
      <c r="F16" s="10" t="s">
        <v>40</v>
      </c>
      <c r="G16" s="10" t="n">
        <v>1</v>
      </c>
      <c r="H16" s="11" t="n">
        <v>180</v>
      </c>
      <c r="I16" s="11" t="n">
        <v>180</v>
      </c>
    </row>
    <row r="17" customFormat="false" ht="15" hidden="false" customHeight="false" outlineLevel="0" collapsed="false">
      <c r="A17" s="10" t="n">
        <v>16</v>
      </c>
      <c r="B17" s="10" t="s">
        <v>68</v>
      </c>
      <c r="C17" s="10" t="s">
        <v>64</v>
      </c>
      <c r="D17" s="10" t="s">
        <v>46</v>
      </c>
      <c r="E17" s="10" t="s">
        <v>54</v>
      </c>
      <c r="F17" s="10" t="s">
        <v>55</v>
      </c>
      <c r="G17" s="10" t="n">
        <v>2</v>
      </c>
      <c r="H17" s="11" t="n">
        <v>220</v>
      </c>
      <c r="I17" s="11" t="n">
        <v>440</v>
      </c>
    </row>
    <row r="18" customFormat="false" ht="15" hidden="false" customHeight="false" outlineLevel="0" collapsed="false">
      <c r="A18" s="10" t="n">
        <v>17</v>
      </c>
      <c r="B18" s="10" t="s">
        <v>69</v>
      </c>
      <c r="C18" s="10" t="s">
        <v>70</v>
      </c>
      <c r="D18" s="10" t="s">
        <v>42</v>
      </c>
      <c r="E18" s="10" t="s">
        <v>58</v>
      </c>
      <c r="F18" s="10" t="s">
        <v>55</v>
      </c>
      <c r="G18" s="10" t="n">
        <v>3</v>
      </c>
      <c r="H18" s="11" t="n">
        <v>95</v>
      </c>
      <c r="I18" s="11" t="n">
        <v>285</v>
      </c>
    </row>
    <row r="19" customFormat="false" ht="15" hidden="false" customHeight="false" outlineLevel="0" collapsed="false">
      <c r="A19" s="10" t="n">
        <v>18</v>
      </c>
      <c r="B19" s="10" t="s">
        <v>69</v>
      </c>
      <c r="C19" s="10" t="s">
        <v>62</v>
      </c>
      <c r="D19" s="10" t="s">
        <v>38</v>
      </c>
      <c r="E19" s="10" t="s">
        <v>59</v>
      </c>
      <c r="F19" s="10" t="s">
        <v>60</v>
      </c>
      <c r="G19" s="10" t="n">
        <v>25</v>
      </c>
      <c r="H19" s="11" t="n">
        <v>3.5</v>
      </c>
      <c r="I19" s="11" t="n">
        <v>87.5</v>
      </c>
    </row>
    <row r="20" customFormat="false" ht="15" hidden="false" customHeight="false" outlineLevel="0" collapsed="false">
      <c r="A20" s="10" t="n">
        <v>19</v>
      </c>
      <c r="B20" s="10" t="s">
        <v>71</v>
      </c>
      <c r="C20" s="10" t="s">
        <v>72</v>
      </c>
      <c r="D20" s="10" t="s">
        <v>46</v>
      </c>
      <c r="E20" s="10" t="s">
        <v>63</v>
      </c>
      <c r="F20" s="10" t="s">
        <v>60</v>
      </c>
      <c r="G20" s="10" t="n">
        <v>12</v>
      </c>
      <c r="H20" s="11" t="n">
        <v>7</v>
      </c>
      <c r="I20" s="11" t="n">
        <v>84</v>
      </c>
    </row>
    <row r="21" customFormat="false" ht="15" hidden="false" customHeight="false" outlineLevel="0" collapsed="false">
      <c r="A21" s="10" t="n">
        <v>20</v>
      </c>
      <c r="B21" s="10" t="s">
        <v>71</v>
      </c>
      <c r="C21" s="10" t="s">
        <v>73</v>
      </c>
      <c r="D21" s="10" t="s">
        <v>42</v>
      </c>
      <c r="E21" s="10" t="s">
        <v>65</v>
      </c>
      <c r="F21" s="10" t="s">
        <v>40</v>
      </c>
      <c r="G21" s="10" t="n">
        <v>1</v>
      </c>
      <c r="H21" s="11" t="n">
        <v>140</v>
      </c>
      <c r="I21" s="11" t="n">
        <v>140</v>
      </c>
    </row>
    <row r="22" customFormat="false" ht="15" hidden="false" customHeight="false" outlineLevel="0" collapsed="false">
      <c r="A22" s="10" t="n">
        <v>21</v>
      </c>
      <c r="B22" s="10" t="s">
        <v>74</v>
      </c>
      <c r="C22" s="10" t="s">
        <v>37</v>
      </c>
      <c r="D22" s="10" t="s">
        <v>38</v>
      </c>
      <c r="E22" s="10" t="s">
        <v>39</v>
      </c>
      <c r="F22" s="10" t="s">
        <v>40</v>
      </c>
      <c r="G22" s="10" t="n">
        <v>3</v>
      </c>
      <c r="H22" s="11" t="n">
        <v>650</v>
      </c>
      <c r="I22" s="11" t="n">
        <v>1950</v>
      </c>
    </row>
    <row r="23" customFormat="false" ht="15" hidden="false" customHeight="false" outlineLevel="0" collapsed="false">
      <c r="A23" s="10" t="n">
        <v>22</v>
      </c>
      <c r="B23" s="10" t="s">
        <v>74</v>
      </c>
      <c r="C23" s="10" t="s">
        <v>45</v>
      </c>
      <c r="D23" s="10" t="s">
        <v>46</v>
      </c>
      <c r="E23" s="10" t="s">
        <v>43</v>
      </c>
      <c r="F23" s="10" t="s">
        <v>40</v>
      </c>
      <c r="G23" s="10" t="n">
        <v>7</v>
      </c>
      <c r="H23" s="11" t="n">
        <v>18.5</v>
      </c>
      <c r="I23" s="11" t="n">
        <v>129.5</v>
      </c>
    </row>
    <row r="24" customFormat="false" ht="15" hidden="false" customHeight="false" outlineLevel="0" collapsed="false">
      <c r="A24" s="10" t="n">
        <v>23</v>
      </c>
      <c r="B24" s="10" t="s">
        <v>75</v>
      </c>
      <c r="C24" s="10" t="s">
        <v>70</v>
      </c>
      <c r="D24" s="10" t="s">
        <v>42</v>
      </c>
      <c r="E24" s="10" t="s">
        <v>47</v>
      </c>
      <c r="F24" s="10" t="s">
        <v>40</v>
      </c>
      <c r="G24" s="10" t="n">
        <v>4</v>
      </c>
      <c r="H24" s="11" t="n">
        <v>42</v>
      </c>
      <c r="I24" s="11" t="n">
        <v>168</v>
      </c>
    </row>
    <row r="25" customFormat="false" ht="15" hidden="false" customHeight="false" outlineLevel="0" collapsed="false">
      <c r="A25" s="10" t="n">
        <v>24</v>
      </c>
      <c r="B25" s="10" t="s">
        <v>75</v>
      </c>
      <c r="C25" s="10" t="s">
        <v>48</v>
      </c>
      <c r="D25" s="10" t="s">
        <v>38</v>
      </c>
      <c r="E25" s="10" t="s">
        <v>49</v>
      </c>
      <c r="F25" s="10" t="s">
        <v>40</v>
      </c>
      <c r="G25" s="10" t="n">
        <v>2</v>
      </c>
      <c r="H25" s="11" t="n">
        <v>85</v>
      </c>
      <c r="I25" s="11" t="n">
        <v>170</v>
      </c>
    </row>
    <row r="26" customFormat="false" ht="15" hidden="false" customHeight="false" outlineLevel="0" collapsed="false">
      <c r="A26" s="10" t="n">
        <v>25</v>
      </c>
      <c r="B26" s="10" t="s">
        <v>76</v>
      </c>
      <c r="C26" s="10" t="s">
        <v>64</v>
      </c>
      <c r="D26" s="10" t="s">
        <v>46</v>
      </c>
      <c r="E26" s="10" t="s">
        <v>52</v>
      </c>
      <c r="F26" s="10" t="s">
        <v>40</v>
      </c>
      <c r="G26" s="10" t="n">
        <v>3</v>
      </c>
      <c r="H26" s="11" t="n">
        <v>180</v>
      </c>
      <c r="I26" s="11" t="n">
        <v>540</v>
      </c>
    </row>
    <row r="27" customFormat="false" ht="15" hidden="false" customHeight="false" outlineLevel="0" collapsed="false">
      <c r="A27" s="10" t="n">
        <v>26</v>
      </c>
      <c r="B27" s="10" t="s">
        <v>76</v>
      </c>
      <c r="C27" s="10" t="s">
        <v>70</v>
      </c>
      <c r="D27" s="10" t="s">
        <v>42</v>
      </c>
      <c r="E27" s="10" t="s">
        <v>54</v>
      </c>
      <c r="F27" s="10" t="s">
        <v>55</v>
      </c>
      <c r="G27" s="10" t="n">
        <v>1</v>
      </c>
      <c r="H27" s="11" t="n">
        <v>220</v>
      </c>
      <c r="I27" s="11" t="n">
        <v>220</v>
      </c>
    </row>
    <row r="28" customFormat="false" ht="15" hidden="false" customHeight="false" outlineLevel="0" collapsed="false">
      <c r="A28" s="10" t="n">
        <v>27</v>
      </c>
      <c r="B28" s="10" t="s">
        <v>77</v>
      </c>
      <c r="C28" s="10" t="s">
        <v>53</v>
      </c>
      <c r="D28" s="10" t="s">
        <v>38</v>
      </c>
      <c r="E28" s="10" t="s">
        <v>58</v>
      </c>
      <c r="F28" s="10" t="s">
        <v>55</v>
      </c>
      <c r="G28" s="10" t="n">
        <v>5</v>
      </c>
      <c r="H28" s="11" t="n">
        <v>95</v>
      </c>
      <c r="I28" s="11" t="n">
        <v>475</v>
      </c>
    </row>
    <row r="29" customFormat="false" ht="15" hidden="false" customHeight="false" outlineLevel="0" collapsed="false">
      <c r="A29" s="10" t="n">
        <v>28</v>
      </c>
      <c r="B29" s="10" t="s">
        <v>77</v>
      </c>
      <c r="C29" s="10" t="s">
        <v>57</v>
      </c>
      <c r="D29" s="10" t="s">
        <v>46</v>
      </c>
      <c r="E29" s="10" t="s">
        <v>59</v>
      </c>
      <c r="F29" s="10" t="s">
        <v>60</v>
      </c>
      <c r="G29" s="10" t="n">
        <v>18</v>
      </c>
      <c r="H29" s="11" t="n">
        <v>3.5</v>
      </c>
      <c r="I29" s="11" t="n">
        <v>63</v>
      </c>
    </row>
    <row r="30" customFormat="false" ht="15" hidden="false" customHeight="false" outlineLevel="0" collapsed="false">
      <c r="A30" s="10" t="n">
        <v>29</v>
      </c>
      <c r="B30" s="10" t="s">
        <v>78</v>
      </c>
      <c r="C30" s="10" t="s">
        <v>41</v>
      </c>
      <c r="D30" s="10" t="s">
        <v>42</v>
      </c>
      <c r="E30" s="10" t="s">
        <v>63</v>
      </c>
      <c r="F30" s="10" t="s">
        <v>60</v>
      </c>
      <c r="G30" s="10" t="n">
        <v>10</v>
      </c>
      <c r="H30" s="11" t="n">
        <v>7</v>
      </c>
      <c r="I30" s="11" t="n">
        <v>70</v>
      </c>
    </row>
    <row r="31" customFormat="false" ht="15" hidden="false" customHeight="false" outlineLevel="0" collapsed="false">
      <c r="A31" s="10" t="n">
        <v>30</v>
      </c>
      <c r="B31" s="10" t="s">
        <v>78</v>
      </c>
      <c r="C31" s="10" t="s">
        <v>79</v>
      </c>
      <c r="D31" s="10" t="s">
        <v>38</v>
      </c>
      <c r="E31" s="10" t="s">
        <v>65</v>
      </c>
      <c r="F31" s="10" t="s">
        <v>40</v>
      </c>
      <c r="G31" s="10" t="n">
        <v>2</v>
      </c>
      <c r="H31" s="11" t="n">
        <v>140</v>
      </c>
      <c r="I31" s="11" t="n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9" t="s">
        <v>80</v>
      </c>
      <c r="B1" s="9" t="s">
        <v>29</v>
      </c>
      <c r="C1" s="9" t="s">
        <v>30</v>
      </c>
      <c r="D1" s="9" t="s">
        <v>81</v>
      </c>
      <c r="E1" s="9" t="s">
        <v>82</v>
      </c>
    </row>
    <row r="2" customFormat="false" ht="15" hidden="false" customHeight="false" outlineLevel="0" collapsed="false">
      <c r="A2" s="10" t="n">
        <v>1</v>
      </c>
      <c r="B2" s="10" t="s">
        <v>37</v>
      </c>
      <c r="C2" s="10" t="s">
        <v>38</v>
      </c>
      <c r="D2" s="10" t="n">
        <v>2</v>
      </c>
      <c r="E2" s="11" t="n">
        <v>3250</v>
      </c>
    </row>
    <row r="3" customFormat="false" ht="15" hidden="false" customHeight="false" outlineLevel="0" collapsed="false">
      <c r="A3" s="10" t="n">
        <v>6</v>
      </c>
      <c r="B3" s="10" t="s">
        <v>51</v>
      </c>
      <c r="C3" s="10" t="s">
        <v>42</v>
      </c>
      <c r="D3" s="10" t="n">
        <v>3</v>
      </c>
      <c r="E3" s="11" t="n">
        <v>1350</v>
      </c>
    </row>
    <row r="4" customFormat="false" ht="15" hidden="false" customHeight="false" outlineLevel="0" collapsed="false">
      <c r="A4" s="10" t="n">
        <v>11</v>
      </c>
      <c r="B4" s="10" t="s">
        <v>64</v>
      </c>
      <c r="C4" s="10" t="s">
        <v>46</v>
      </c>
      <c r="D4" s="10" t="n">
        <v>3</v>
      </c>
      <c r="E4" s="11" t="n">
        <v>1260</v>
      </c>
    </row>
    <row r="5" customFormat="false" ht="15" hidden="false" customHeight="false" outlineLevel="0" collapsed="false">
      <c r="A5" s="10" t="n">
        <v>3</v>
      </c>
      <c r="B5" s="10" t="s">
        <v>53</v>
      </c>
      <c r="C5" s="10" t="s">
        <v>38</v>
      </c>
      <c r="D5" s="10" t="n">
        <v>3</v>
      </c>
      <c r="E5" s="11" t="n">
        <v>875</v>
      </c>
    </row>
    <row r="6" customFormat="false" ht="15" hidden="false" customHeight="false" outlineLevel="0" collapsed="false">
      <c r="A6" s="10" t="n">
        <v>8</v>
      </c>
      <c r="B6" s="10" t="s">
        <v>70</v>
      </c>
      <c r="C6" s="10" t="s">
        <v>42</v>
      </c>
      <c r="D6" s="10" t="n">
        <v>3</v>
      </c>
      <c r="E6" s="11" t="n">
        <v>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9"/>
  </cols>
  <sheetData>
    <row r="1" customFormat="false" ht="15" hidden="false" customHeight="false" outlineLevel="0" collapsed="false">
      <c r="A1" s="9" t="s">
        <v>80</v>
      </c>
      <c r="B1" s="9" t="s">
        <v>29</v>
      </c>
      <c r="C1" s="9" t="s">
        <v>30</v>
      </c>
      <c r="D1" s="9" t="s">
        <v>83</v>
      </c>
    </row>
    <row r="2" customFormat="false" ht="15" hidden="false" customHeight="false" outlineLevel="0" collapsed="false">
      <c r="A2" s="10" t="n">
        <v>14</v>
      </c>
      <c r="B2" s="10" t="s">
        <v>84</v>
      </c>
      <c r="C2" s="10" t="s">
        <v>38</v>
      </c>
      <c r="D2" s="10" t="s">
        <v>85</v>
      </c>
    </row>
    <row r="3" customFormat="false" ht="15" hidden="false" customHeight="false" outlineLevel="0" collapsed="false">
      <c r="A3" s="10" t="n">
        <v>15</v>
      </c>
      <c r="B3" s="10" t="s">
        <v>86</v>
      </c>
      <c r="C3" s="10" t="s">
        <v>42</v>
      </c>
      <c r="D3" s="1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23"/>
    <col collapsed="false" customWidth="true" hidden="false" outlineLevel="0" max="4" min="4" style="0" width="19"/>
    <col collapsed="false" customWidth="true" hidden="false" outlineLevel="0" max="5" min="5" style="0" width="22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9" t="s">
        <v>29</v>
      </c>
      <c r="B1" s="9" t="s">
        <v>30</v>
      </c>
      <c r="C1" s="9" t="s">
        <v>88</v>
      </c>
      <c r="D1" s="9" t="s">
        <v>89</v>
      </c>
      <c r="E1" s="9" t="s">
        <v>90</v>
      </c>
      <c r="F1" s="9" t="s">
        <v>91</v>
      </c>
    </row>
    <row r="2" customFormat="false" ht="15" hidden="false" customHeight="false" outlineLevel="0" collapsed="false">
      <c r="A2" s="10" t="s">
        <v>37</v>
      </c>
      <c r="B2" s="10" t="s">
        <v>38</v>
      </c>
      <c r="C2" s="11" t="n">
        <v>1625</v>
      </c>
      <c r="D2" s="11" t="n">
        <v>334.57</v>
      </c>
      <c r="E2" s="11" t="n">
        <v>1290.43</v>
      </c>
      <c r="F2" s="10" t="s">
        <v>92</v>
      </c>
    </row>
    <row r="3" customFormat="false" ht="15" hidden="false" customHeight="false" outlineLevel="0" collapsed="false">
      <c r="A3" s="10" t="s">
        <v>51</v>
      </c>
      <c r="B3" s="10" t="s">
        <v>42</v>
      </c>
      <c r="C3" s="11" t="n">
        <v>450</v>
      </c>
      <c r="D3" s="11" t="n">
        <v>334.57</v>
      </c>
      <c r="E3" s="11" t="n">
        <v>115.43</v>
      </c>
      <c r="F3" s="10" t="s">
        <v>92</v>
      </c>
    </row>
    <row r="4" customFormat="false" ht="15" hidden="false" customHeight="false" outlineLevel="0" collapsed="false">
      <c r="A4" s="10" t="s">
        <v>64</v>
      </c>
      <c r="B4" s="10" t="s">
        <v>46</v>
      </c>
      <c r="C4" s="11" t="n">
        <v>420</v>
      </c>
      <c r="D4" s="11" t="n">
        <v>334.57</v>
      </c>
      <c r="E4" s="11" t="n">
        <v>85.43</v>
      </c>
      <c r="F4" s="10" t="s">
        <v>92</v>
      </c>
    </row>
    <row r="5" customFormat="false" ht="15" hidden="false" customHeight="false" outlineLevel="0" collapsed="false">
      <c r="A5" s="10" t="s">
        <v>53</v>
      </c>
      <c r="B5" s="10" t="s">
        <v>38</v>
      </c>
      <c r="C5" s="11" t="n">
        <v>291.67</v>
      </c>
      <c r="D5" s="11" t="n">
        <v>334.57</v>
      </c>
      <c r="E5" s="11" t="n">
        <v>-42.9</v>
      </c>
      <c r="F5" s="10" t="s">
        <v>93</v>
      </c>
    </row>
    <row r="6" customFormat="false" ht="15" hidden="false" customHeight="false" outlineLevel="0" collapsed="false">
      <c r="A6" s="10" t="s">
        <v>79</v>
      </c>
      <c r="B6" s="10" t="s">
        <v>38</v>
      </c>
      <c r="C6" s="11" t="n">
        <v>280</v>
      </c>
      <c r="D6" s="11" t="n">
        <v>334.57</v>
      </c>
      <c r="E6" s="11" t="n">
        <v>-54.57</v>
      </c>
      <c r="F6" s="10" t="s">
        <v>93</v>
      </c>
    </row>
    <row r="7" customFormat="false" ht="15" hidden="false" customHeight="false" outlineLevel="0" collapsed="false">
      <c r="A7" s="10" t="s">
        <v>70</v>
      </c>
      <c r="B7" s="10" t="s">
        <v>42</v>
      </c>
      <c r="C7" s="11" t="n">
        <v>224.33</v>
      </c>
      <c r="D7" s="11" t="n">
        <v>334.57</v>
      </c>
      <c r="E7" s="11" t="n">
        <v>-110.24</v>
      </c>
      <c r="F7" s="10" t="s">
        <v>93</v>
      </c>
    </row>
    <row r="8" customFormat="false" ht="15" hidden="false" customHeight="false" outlineLevel="0" collapsed="false">
      <c r="A8" s="10" t="s">
        <v>57</v>
      </c>
      <c r="B8" s="10" t="s">
        <v>46</v>
      </c>
      <c r="C8" s="11" t="n">
        <v>221.5</v>
      </c>
      <c r="D8" s="11" t="n">
        <v>334.57</v>
      </c>
      <c r="E8" s="11" t="n">
        <v>-113.07</v>
      </c>
      <c r="F8" s="10" t="s">
        <v>93</v>
      </c>
    </row>
    <row r="9" customFormat="false" ht="15" hidden="false" customHeight="false" outlineLevel="0" collapsed="false">
      <c r="A9" s="10" t="s">
        <v>48</v>
      </c>
      <c r="B9" s="10" t="s">
        <v>38</v>
      </c>
      <c r="C9" s="11" t="n">
        <v>203.33</v>
      </c>
      <c r="D9" s="11" t="n">
        <v>334.57</v>
      </c>
      <c r="E9" s="11" t="n">
        <v>-131.24</v>
      </c>
      <c r="F9" s="10" t="s">
        <v>93</v>
      </c>
    </row>
    <row r="10" customFormat="false" ht="15" hidden="false" customHeight="false" outlineLevel="0" collapsed="false">
      <c r="A10" s="10" t="s">
        <v>45</v>
      </c>
      <c r="B10" s="10" t="s">
        <v>46</v>
      </c>
      <c r="C10" s="11" t="n">
        <v>197.17</v>
      </c>
      <c r="D10" s="11" t="n">
        <v>334.57</v>
      </c>
      <c r="E10" s="11" t="n">
        <v>-137.4</v>
      </c>
      <c r="F10" s="10" t="s">
        <v>93</v>
      </c>
    </row>
    <row r="11" customFormat="false" ht="15" hidden="false" customHeight="false" outlineLevel="0" collapsed="false">
      <c r="A11" s="10" t="s">
        <v>73</v>
      </c>
      <c r="B11" s="10" t="s">
        <v>42</v>
      </c>
      <c r="C11" s="11" t="n">
        <v>140</v>
      </c>
      <c r="D11" s="11" t="n">
        <v>334.57</v>
      </c>
      <c r="E11" s="11" t="n">
        <v>-194.57</v>
      </c>
      <c r="F11" s="10" t="s">
        <v>93</v>
      </c>
    </row>
    <row r="12" customFormat="false" ht="15" hidden="false" customHeight="false" outlineLevel="0" collapsed="false">
      <c r="A12" s="10" t="s">
        <v>62</v>
      </c>
      <c r="B12" s="10" t="s">
        <v>38</v>
      </c>
      <c r="C12" s="11" t="n">
        <v>96.25</v>
      </c>
      <c r="D12" s="11" t="n">
        <v>334.57</v>
      </c>
      <c r="E12" s="11" t="n">
        <v>-238.32</v>
      </c>
      <c r="F12" s="10" t="s">
        <v>93</v>
      </c>
    </row>
    <row r="13" customFormat="false" ht="15" hidden="false" customHeight="false" outlineLevel="0" collapsed="false">
      <c r="A13" s="10" t="s">
        <v>41</v>
      </c>
      <c r="B13" s="10" t="s">
        <v>42</v>
      </c>
      <c r="C13" s="11" t="n">
        <v>96</v>
      </c>
      <c r="D13" s="11" t="n">
        <v>334.57</v>
      </c>
      <c r="E13" s="11" t="n">
        <v>-238.57</v>
      </c>
      <c r="F13" s="10" t="s">
        <v>93</v>
      </c>
    </row>
    <row r="14" customFormat="false" ht="15" hidden="false" customHeight="false" outlineLevel="0" collapsed="false">
      <c r="A14" s="10" t="s">
        <v>72</v>
      </c>
      <c r="B14" s="10" t="s">
        <v>46</v>
      </c>
      <c r="C14" s="11" t="n">
        <v>84</v>
      </c>
      <c r="D14" s="11" t="n">
        <v>334.57</v>
      </c>
      <c r="E14" s="11" t="n">
        <v>-250.57</v>
      </c>
      <c r="F14" s="10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0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9" t="s">
        <v>30</v>
      </c>
      <c r="B1" s="9" t="s">
        <v>29</v>
      </c>
      <c r="C1" s="9" t="s">
        <v>82</v>
      </c>
      <c r="D1" s="9" t="s">
        <v>94</v>
      </c>
    </row>
    <row r="2" customFormat="false" ht="15" hidden="false" customHeight="false" outlineLevel="0" collapsed="false">
      <c r="A2" s="10" t="s">
        <v>46</v>
      </c>
      <c r="B2" s="10" t="s">
        <v>64</v>
      </c>
      <c r="C2" s="11" t="n">
        <v>1260</v>
      </c>
      <c r="D2" s="10" t="n">
        <v>1</v>
      </c>
    </row>
    <row r="3" customFormat="false" ht="15" hidden="false" customHeight="false" outlineLevel="0" collapsed="false">
      <c r="A3" s="10" t="s">
        <v>46</v>
      </c>
      <c r="B3" s="10" t="s">
        <v>45</v>
      </c>
      <c r="C3" s="11" t="n">
        <v>591.5</v>
      </c>
      <c r="D3" s="10" t="n">
        <v>2</v>
      </c>
    </row>
    <row r="4" customFormat="false" ht="15" hidden="false" customHeight="false" outlineLevel="0" collapsed="false">
      <c r="A4" s="10" t="s">
        <v>46</v>
      </c>
      <c r="B4" s="10" t="s">
        <v>57</v>
      </c>
      <c r="C4" s="11" t="n">
        <v>443</v>
      </c>
      <c r="D4" s="10" t="n">
        <v>3</v>
      </c>
    </row>
    <row r="5" customFormat="false" ht="15" hidden="false" customHeight="false" outlineLevel="0" collapsed="false">
      <c r="A5" s="10" t="s">
        <v>46</v>
      </c>
      <c r="B5" s="10" t="s">
        <v>72</v>
      </c>
      <c r="C5" s="11" t="n">
        <v>84</v>
      </c>
      <c r="D5" s="10" t="n">
        <v>4</v>
      </c>
    </row>
    <row r="6" customFormat="false" ht="15" hidden="false" customHeight="false" outlineLevel="0" collapsed="false">
      <c r="A6" s="10" t="s">
        <v>42</v>
      </c>
      <c r="B6" s="10" t="s">
        <v>51</v>
      </c>
      <c r="C6" s="11" t="n">
        <v>1350</v>
      </c>
      <c r="D6" s="10" t="n">
        <v>1</v>
      </c>
    </row>
    <row r="7" customFormat="false" ht="15" hidden="false" customHeight="false" outlineLevel="0" collapsed="false">
      <c r="A7" s="10" t="s">
        <v>42</v>
      </c>
      <c r="B7" s="10" t="s">
        <v>70</v>
      </c>
      <c r="C7" s="11" t="n">
        <v>673</v>
      </c>
      <c r="D7" s="10" t="n">
        <v>2</v>
      </c>
    </row>
    <row r="8" customFormat="false" ht="15" hidden="false" customHeight="false" outlineLevel="0" collapsed="false">
      <c r="A8" s="10" t="s">
        <v>42</v>
      </c>
      <c r="B8" s="10" t="s">
        <v>41</v>
      </c>
      <c r="C8" s="11" t="n">
        <v>288</v>
      </c>
      <c r="D8" s="10" t="n">
        <v>3</v>
      </c>
    </row>
    <row r="9" customFormat="false" ht="15" hidden="false" customHeight="false" outlineLevel="0" collapsed="false">
      <c r="A9" s="10" t="s">
        <v>42</v>
      </c>
      <c r="B9" s="10" t="s">
        <v>73</v>
      </c>
      <c r="C9" s="11" t="n">
        <v>140</v>
      </c>
      <c r="D9" s="10" t="n">
        <v>4</v>
      </c>
    </row>
    <row r="10" customFormat="false" ht="15" hidden="false" customHeight="false" outlineLevel="0" collapsed="false">
      <c r="A10" s="10" t="s">
        <v>42</v>
      </c>
      <c r="B10" s="10" t="s">
        <v>86</v>
      </c>
      <c r="C10" s="11" t="n">
        <v>0</v>
      </c>
      <c r="D10" s="10" t="n">
        <v>5</v>
      </c>
    </row>
    <row r="11" customFormat="false" ht="15" hidden="false" customHeight="false" outlineLevel="0" collapsed="false">
      <c r="A11" s="10" t="s">
        <v>38</v>
      </c>
      <c r="B11" s="10" t="s">
        <v>37</v>
      </c>
      <c r="C11" s="11" t="n">
        <v>3250</v>
      </c>
      <c r="D11" s="10" t="n">
        <v>1</v>
      </c>
    </row>
    <row r="12" customFormat="false" ht="15" hidden="false" customHeight="false" outlineLevel="0" collapsed="false">
      <c r="A12" s="10" t="s">
        <v>38</v>
      </c>
      <c r="B12" s="10" t="s">
        <v>53</v>
      </c>
      <c r="C12" s="11" t="n">
        <v>875</v>
      </c>
      <c r="D12" s="10" t="n">
        <v>2</v>
      </c>
    </row>
    <row r="13" customFormat="false" ht="15" hidden="false" customHeight="false" outlineLevel="0" collapsed="false">
      <c r="A13" s="10" t="s">
        <v>38</v>
      </c>
      <c r="B13" s="10" t="s">
        <v>48</v>
      </c>
      <c r="C13" s="11" t="n">
        <v>610</v>
      </c>
      <c r="D13" s="10" t="n">
        <v>3</v>
      </c>
    </row>
    <row r="14" customFormat="false" ht="15" hidden="false" customHeight="false" outlineLevel="0" collapsed="false">
      <c r="A14" s="10" t="s">
        <v>38</v>
      </c>
      <c r="B14" s="10" t="s">
        <v>79</v>
      </c>
      <c r="C14" s="11" t="n">
        <v>280</v>
      </c>
      <c r="D14" s="10" t="n">
        <v>4</v>
      </c>
    </row>
    <row r="15" customFormat="false" ht="15" hidden="false" customHeight="false" outlineLevel="0" collapsed="false">
      <c r="A15" s="10" t="s">
        <v>38</v>
      </c>
      <c r="B15" s="10" t="s">
        <v>62</v>
      </c>
      <c r="C15" s="11" t="n">
        <v>192.5</v>
      </c>
      <c r="D15" s="10" t="n">
        <v>5</v>
      </c>
    </row>
    <row r="16" customFormat="false" ht="15" hidden="false" customHeight="false" outlineLevel="0" collapsed="false">
      <c r="A16" s="10" t="s">
        <v>38</v>
      </c>
      <c r="B16" s="10" t="s">
        <v>84</v>
      </c>
      <c r="C16" s="11" t="n">
        <v>0</v>
      </c>
      <c r="D16" s="1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9" t="s">
        <v>95</v>
      </c>
      <c r="B1" s="9" t="s">
        <v>96</v>
      </c>
      <c r="C1" s="9" t="s">
        <v>97</v>
      </c>
      <c r="D1" s="9" t="s">
        <v>98</v>
      </c>
    </row>
    <row r="2" customFormat="false" ht="15" hidden="false" customHeight="false" outlineLevel="0" collapsed="false">
      <c r="A2" s="10" t="s">
        <v>99</v>
      </c>
      <c r="B2" s="10" t="n">
        <v>30</v>
      </c>
      <c r="C2" s="10" t="n">
        <v>182</v>
      </c>
      <c r="D2" s="11" t="n">
        <v>10037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9" t="s">
        <v>28</v>
      </c>
      <c r="B1" s="9" t="s">
        <v>100</v>
      </c>
      <c r="C1" s="9" t="s">
        <v>101</v>
      </c>
    </row>
    <row r="2" customFormat="false" ht="15" hidden="false" customHeight="false" outlineLevel="0" collapsed="false">
      <c r="A2" s="10" t="s">
        <v>36</v>
      </c>
      <c r="B2" s="11" t="n">
        <v>1448</v>
      </c>
      <c r="C2" s="11" t="n">
        <v>1448</v>
      </c>
    </row>
    <row r="3" customFormat="false" ht="15" hidden="false" customHeight="false" outlineLevel="0" collapsed="false">
      <c r="A3" s="10" t="s">
        <v>44</v>
      </c>
      <c r="B3" s="11" t="n">
        <v>465</v>
      </c>
      <c r="C3" s="11" t="n">
        <v>1913</v>
      </c>
    </row>
    <row r="4" customFormat="false" ht="15" hidden="false" customHeight="false" outlineLevel="0" collapsed="false">
      <c r="A4" s="10" t="s">
        <v>50</v>
      </c>
      <c r="B4" s="11" t="n">
        <v>580</v>
      </c>
      <c r="C4" s="11" t="n">
        <v>2493</v>
      </c>
    </row>
    <row r="5" customFormat="false" ht="15" hidden="false" customHeight="false" outlineLevel="0" collapsed="false">
      <c r="A5" s="10" t="s">
        <v>56</v>
      </c>
      <c r="B5" s="11" t="n">
        <v>450</v>
      </c>
      <c r="C5" s="11" t="n">
        <v>2943</v>
      </c>
    </row>
    <row r="6" customFormat="false" ht="15" hidden="false" customHeight="false" outlineLevel="0" collapsed="false">
      <c r="A6" s="10" t="s">
        <v>61</v>
      </c>
      <c r="B6" s="11" t="n">
        <v>385</v>
      </c>
      <c r="C6" s="11" t="n">
        <v>3328</v>
      </c>
    </row>
    <row r="7" customFormat="false" ht="15" hidden="false" customHeight="false" outlineLevel="0" collapsed="false">
      <c r="A7" s="10" t="s">
        <v>66</v>
      </c>
      <c r="B7" s="11" t="n">
        <v>835</v>
      </c>
      <c r="C7" s="11" t="n">
        <v>4163</v>
      </c>
    </row>
    <row r="8" customFormat="false" ht="15" hidden="false" customHeight="false" outlineLevel="0" collapsed="false">
      <c r="A8" s="10" t="s">
        <v>67</v>
      </c>
      <c r="B8" s="11" t="n">
        <v>592</v>
      </c>
      <c r="C8" s="11" t="n">
        <v>4755</v>
      </c>
    </row>
    <row r="9" customFormat="false" ht="15" hidden="false" customHeight="false" outlineLevel="0" collapsed="false">
      <c r="A9" s="10" t="s">
        <v>68</v>
      </c>
      <c r="B9" s="11" t="n">
        <v>620</v>
      </c>
      <c r="C9" s="11" t="n">
        <v>5375</v>
      </c>
    </row>
    <row r="10" customFormat="false" ht="15" hidden="false" customHeight="false" outlineLevel="0" collapsed="false">
      <c r="A10" s="10" t="s">
        <v>69</v>
      </c>
      <c r="B10" s="11" t="n">
        <v>372.5</v>
      </c>
      <c r="C10" s="11" t="n">
        <v>5747.5</v>
      </c>
    </row>
    <row r="11" customFormat="false" ht="15" hidden="false" customHeight="false" outlineLevel="0" collapsed="false">
      <c r="A11" s="10" t="s">
        <v>71</v>
      </c>
      <c r="B11" s="11" t="n">
        <v>224</v>
      </c>
      <c r="C11" s="11" t="n">
        <v>5971.5</v>
      </c>
    </row>
    <row r="12" customFormat="false" ht="15" hidden="false" customHeight="false" outlineLevel="0" collapsed="false">
      <c r="A12" s="10" t="s">
        <v>74</v>
      </c>
      <c r="B12" s="11" t="n">
        <v>2079.5</v>
      </c>
      <c r="C12" s="11" t="n">
        <v>8051</v>
      </c>
    </row>
    <row r="13" customFormat="false" ht="15" hidden="false" customHeight="false" outlineLevel="0" collapsed="false">
      <c r="A13" s="10" t="s">
        <v>75</v>
      </c>
      <c r="B13" s="11" t="n">
        <v>338</v>
      </c>
      <c r="C13" s="11" t="n">
        <v>8389</v>
      </c>
    </row>
    <row r="14" customFormat="false" ht="15" hidden="false" customHeight="false" outlineLevel="0" collapsed="false">
      <c r="A14" s="10" t="s">
        <v>76</v>
      </c>
      <c r="B14" s="11" t="n">
        <v>760</v>
      </c>
      <c r="C14" s="11" t="n">
        <v>9149</v>
      </c>
    </row>
    <row r="15" customFormat="false" ht="15" hidden="false" customHeight="false" outlineLevel="0" collapsed="false">
      <c r="A15" s="10" t="s">
        <v>77</v>
      </c>
      <c r="B15" s="11" t="n">
        <v>538</v>
      </c>
      <c r="C15" s="11" t="n">
        <v>9687</v>
      </c>
    </row>
    <row r="16" customFormat="false" ht="15" hidden="false" customHeight="false" outlineLevel="0" collapsed="false">
      <c r="A16" s="10" t="s">
        <v>78</v>
      </c>
      <c r="B16" s="11" t="n">
        <v>350</v>
      </c>
      <c r="C16" s="11" t="n">
        <v>10037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9"/>
    <col collapsed="false" customWidth="true" hidden="false" outlineLevel="0" max="3" min="3" style="0" width="20"/>
    <col collapsed="false" customWidth="true" hidden="false" outlineLevel="0" max="4" min="4" style="0" width="23"/>
  </cols>
  <sheetData>
    <row r="1" customFormat="false" ht="15" hidden="false" customHeight="false" outlineLevel="0" collapsed="false">
      <c r="A1" s="9" t="s">
        <v>32</v>
      </c>
      <c r="B1" s="9" t="s">
        <v>97</v>
      </c>
      <c r="C1" s="9" t="s">
        <v>98</v>
      </c>
      <c r="D1" s="9" t="s">
        <v>102</v>
      </c>
    </row>
    <row r="2" customFormat="false" ht="15" hidden="false" customHeight="false" outlineLevel="0" collapsed="false">
      <c r="A2" s="10" t="s">
        <v>40</v>
      </c>
      <c r="B2" s="10" t="n">
        <v>66</v>
      </c>
      <c r="C2" s="11" t="n">
        <v>7537.5</v>
      </c>
      <c r="D2" s="11" t="n">
        <v>75.1</v>
      </c>
    </row>
    <row r="3" customFormat="false" ht="15" hidden="false" customHeight="false" outlineLevel="0" collapsed="false">
      <c r="A3" s="10" t="s">
        <v>55</v>
      </c>
      <c r="B3" s="10" t="n">
        <v>16</v>
      </c>
      <c r="C3" s="11" t="n">
        <v>2020</v>
      </c>
      <c r="D3" s="11" t="n">
        <v>20.1</v>
      </c>
    </row>
    <row r="4" customFormat="false" ht="15" hidden="false" customHeight="false" outlineLevel="0" collapsed="false">
      <c r="A4" s="10" t="s">
        <v>60</v>
      </c>
      <c r="B4" s="10" t="n">
        <v>100</v>
      </c>
      <c r="C4" s="11" t="n">
        <v>479.5</v>
      </c>
      <c r="D4" s="11" t="n">
        <v>4.8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9"/>
    <col collapsed="false" customWidth="true" hidden="false" outlineLevel="0" max="4" min="4" style="0" width="28"/>
    <col collapsed="false" customWidth="true" hidden="false" outlineLevel="0" max="5" min="5" style="0" width="19"/>
    <col collapsed="false" customWidth="true" hidden="false" outlineLevel="0" max="6" min="6" style="0" width="20"/>
  </cols>
  <sheetData>
    <row r="1" customFormat="false" ht="14.15" hidden="false" customHeight="false" outlineLevel="0" collapsed="false">
      <c r="A1" s="9" t="s">
        <v>80</v>
      </c>
      <c r="B1" s="9" t="s">
        <v>29</v>
      </c>
      <c r="C1" s="9" t="s">
        <v>83</v>
      </c>
      <c r="D1" s="9" t="s">
        <v>103</v>
      </c>
      <c r="E1" s="9" t="s">
        <v>81</v>
      </c>
      <c r="F1" s="9" t="s">
        <v>82</v>
      </c>
    </row>
    <row r="2" customFormat="false" ht="15" hidden="false" customHeight="false" outlineLevel="0" collapsed="false">
      <c r="A2" s="10" t="n">
        <v>1</v>
      </c>
      <c r="B2" s="10" t="s">
        <v>37</v>
      </c>
      <c r="C2" s="10" t="s">
        <v>104</v>
      </c>
      <c r="D2" s="10" t="n">
        <v>608</v>
      </c>
      <c r="E2" s="10" t="n">
        <v>2</v>
      </c>
      <c r="F2" s="11" t="n">
        <v>3250</v>
      </c>
    </row>
    <row r="3" customFormat="false" ht="15" hidden="false" customHeight="false" outlineLevel="0" collapsed="false">
      <c r="A3" s="10" t="n">
        <v>11</v>
      </c>
      <c r="B3" s="10" t="s">
        <v>64</v>
      </c>
      <c r="C3" s="10" t="s">
        <v>105</v>
      </c>
      <c r="D3" s="10" t="n">
        <v>593</v>
      </c>
      <c r="E3" s="10" t="n">
        <v>3</v>
      </c>
      <c r="F3" s="11" t="n">
        <v>1260</v>
      </c>
    </row>
    <row r="4" customFormat="false" ht="15" hidden="false" customHeight="false" outlineLevel="0" collapsed="false">
      <c r="A4" s="10" t="n">
        <v>6</v>
      </c>
      <c r="B4" s="10" t="s">
        <v>51</v>
      </c>
      <c r="C4" s="10" t="s">
        <v>106</v>
      </c>
      <c r="D4" s="10" t="n">
        <v>583</v>
      </c>
      <c r="E4" s="10" t="n">
        <v>3</v>
      </c>
      <c r="F4" s="11" t="n">
        <v>1350</v>
      </c>
    </row>
    <row r="5" customFormat="false" ht="15" hidden="false" customHeight="false" outlineLevel="0" collapsed="false">
      <c r="A5" s="10" t="n">
        <v>2</v>
      </c>
      <c r="B5" s="10" t="s">
        <v>48</v>
      </c>
      <c r="C5" s="10" t="s">
        <v>107</v>
      </c>
      <c r="D5" s="10" t="n">
        <v>554</v>
      </c>
      <c r="E5" s="10" t="n">
        <v>3</v>
      </c>
      <c r="F5" s="11" t="n">
        <v>610</v>
      </c>
    </row>
    <row r="6" customFormat="false" ht="15" hidden="false" customHeight="false" outlineLevel="0" collapsed="false">
      <c r="A6" s="10" t="n">
        <v>7</v>
      </c>
      <c r="B6" s="10" t="s">
        <v>41</v>
      </c>
      <c r="C6" s="10" t="s">
        <v>108</v>
      </c>
      <c r="D6" s="10" t="n">
        <v>506</v>
      </c>
      <c r="E6" s="10" t="n">
        <v>3</v>
      </c>
      <c r="F6" s="11" t="n">
        <v>288</v>
      </c>
    </row>
    <row r="7" customFormat="false" ht="15" hidden="false" customHeight="false" outlineLevel="0" collapsed="false">
      <c r="A7" s="10" t="n">
        <v>3</v>
      </c>
      <c r="B7" s="10" t="s">
        <v>53</v>
      </c>
      <c r="C7" s="10" t="s">
        <v>109</v>
      </c>
      <c r="D7" s="10" t="n">
        <v>481</v>
      </c>
      <c r="E7" s="10" t="n">
        <v>3</v>
      </c>
      <c r="F7" s="11" t="n">
        <v>875</v>
      </c>
    </row>
    <row r="8" customFormat="false" ht="15" hidden="false" customHeight="false" outlineLevel="0" collapsed="false">
      <c r="A8" s="10" t="n">
        <v>10</v>
      </c>
      <c r="B8" s="10" t="s">
        <v>45</v>
      </c>
      <c r="C8" s="10" t="s">
        <v>110</v>
      </c>
      <c r="D8" s="10" t="n">
        <v>454</v>
      </c>
      <c r="E8" s="10" t="n">
        <v>3</v>
      </c>
      <c r="F8" s="11" t="n">
        <v>591.5</v>
      </c>
    </row>
    <row r="9" customFormat="false" ht="15" hidden="false" customHeight="false" outlineLevel="0" collapsed="false">
      <c r="A9" s="10" t="n">
        <v>4</v>
      </c>
      <c r="B9" s="10" t="s">
        <v>62</v>
      </c>
      <c r="C9" s="10" t="s">
        <v>111</v>
      </c>
      <c r="D9" s="10" t="n">
        <v>438</v>
      </c>
      <c r="E9" s="10" t="n">
        <v>2</v>
      </c>
      <c r="F9" s="11" t="n">
        <v>192.5</v>
      </c>
    </row>
    <row r="10" customFormat="false" ht="15" hidden="false" customHeight="false" outlineLevel="0" collapsed="false">
      <c r="A10" s="10" t="n">
        <v>8</v>
      </c>
      <c r="B10" s="10" t="s">
        <v>70</v>
      </c>
      <c r="C10" s="10" t="s">
        <v>112</v>
      </c>
      <c r="D10" s="10" t="n">
        <v>367</v>
      </c>
      <c r="E10" s="10" t="n">
        <v>3</v>
      </c>
      <c r="F10" s="11" t="n">
        <v>673</v>
      </c>
    </row>
    <row r="11" customFormat="false" ht="15" hidden="false" customHeight="false" outlineLevel="0" collapsed="false">
      <c r="A11" s="10" t="n">
        <v>12</v>
      </c>
      <c r="B11" s="10" t="s">
        <v>57</v>
      </c>
      <c r="C11" s="10" t="s">
        <v>113</v>
      </c>
      <c r="D11" s="10" t="n">
        <v>314</v>
      </c>
      <c r="E11" s="10" t="n">
        <v>2</v>
      </c>
      <c r="F11" s="11" t="n">
        <v>443</v>
      </c>
    </row>
    <row r="12" customFormat="false" ht="15" hidden="false" customHeight="false" outlineLevel="0" collapsed="false">
      <c r="A12" s="10" t="n">
        <v>5</v>
      </c>
      <c r="B12" s="10" t="s">
        <v>79</v>
      </c>
      <c r="C12" s="10" t="s">
        <v>114</v>
      </c>
      <c r="D12" s="10" t="n">
        <v>209</v>
      </c>
      <c r="E12" s="10" t="n">
        <v>1</v>
      </c>
      <c r="F12" s="11" t="n">
        <v>280</v>
      </c>
    </row>
    <row r="13" customFormat="false" ht="15" hidden="false" customHeight="false" outlineLevel="0" collapsed="false">
      <c r="A13" s="10" t="n">
        <v>14</v>
      </c>
      <c r="B13" s="10" t="s">
        <v>84</v>
      </c>
      <c r="C13" s="10" t="s">
        <v>85</v>
      </c>
      <c r="D13" s="10" t="n">
        <v>156</v>
      </c>
      <c r="E13" s="10" t="n">
        <v>0</v>
      </c>
      <c r="F13" s="11" t="n">
        <v>0</v>
      </c>
    </row>
    <row r="14" customFormat="false" ht="15" hidden="false" customHeight="false" outlineLevel="0" collapsed="false">
      <c r="A14" s="10" t="n">
        <v>9</v>
      </c>
      <c r="B14" s="10" t="s">
        <v>73</v>
      </c>
      <c r="C14" s="10" t="s">
        <v>115</v>
      </c>
      <c r="D14" s="10" t="n">
        <v>106</v>
      </c>
      <c r="E14" s="10" t="n">
        <v>1</v>
      </c>
      <c r="F14" s="11" t="n">
        <v>140</v>
      </c>
    </row>
    <row r="15" customFormat="false" ht="15" hidden="false" customHeight="false" outlineLevel="0" collapsed="false">
      <c r="A15" s="10" t="n">
        <v>13</v>
      </c>
      <c r="B15" s="10" t="s">
        <v>72</v>
      </c>
      <c r="C15" s="10" t="s">
        <v>116</v>
      </c>
      <c r="D15" s="10" t="n">
        <v>56</v>
      </c>
      <c r="E15" s="10" t="n">
        <v>1</v>
      </c>
      <c r="F15" s="11" t="n">
        <v>84</v>
      </c>
    </row>
    <row r="16" customFormat="false" ht="15" hidden="false" customHeight="false" outlineLevel="0" collapsed="false">
      <c r="A16" s="10" t="n">
        <v>15</v>
      </c>
      <c r="B16" s="10" t="s">
        <v>86</v>
      </c>
      <c r="C16" s="10" t="s">
        <v>87</v>
      </c>
      <c r="D16" s="10" t="n">
        <v>21</v>
      </c>
      <c r="E16" s="10" t="n">
        <v>0</v>
      </c>
      <c r="F16" s="1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1"/>
    <col collapsed="false" customWidth="true" hidden="false" outlineLevel="0" max="3" min="3" style="0" width="28"/>
    <col collapsed="false" customWidth="true" hidden="false" outlineLevel="0" max="4" min="4" style="0" width="23"/>
    <col collapsed="false" customWidth="true" hidden="false" outlineLevel="0" max="5" min="5" style="0" width="28"/>
  </cols>
  <sheetData>
    <row r="1" customFormat="false" ht="14.15" hidden="false" customHeight="false" outlineLevel="0" collapsed="false">
      <c r="A1" s="9" t="s">
        <v>117</v>
      </c>
      <c r="B1" s="9" t="s">
        <v>118</v>
      </c>
      <c r="C1" s="9" t="s">
        <v>119</v>
      </c>
      <c r="D1" s="9" t="s">
        <v>120</v>
      </c>
      <c r="E1" s="9" t="s">
        <v>121</v>
      </c>
    </row>
    <row r="2" customFormat="false" ht="15" hidden="false" customHeight="false" outlineLevel="0" collapsed="false">
      <c r="A2" s="10" t="n">
        <v>15</v>
      </c>
      <c r="B2" s="10" t="n">
        <v>2</v>
      </c>
      <c r="C2" s="10" t="n">
        <v>3</v>
      </c>
      <c r="D2" s="10" t="n">
        <v>10</v>
      </c>
      <c r="E2" s="10" t="n">
        <v>66.7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9" t="s">
        <v>30</v>
      </c>
      <c r="B1" s="9" t="s">
        <v>122</v>
      </c>
      <c r="C1" s="9" t="s">
        <v>96</v>
      </c>
      <c r="D1" s="9" t="s">
        <v>98</v>
      </c>
    </row>
    <row r="2" customFormat="false" ht="15" hidden="false" customHeight="false" outlineLevel="0" collapsed="false">
      <c r="A2" s="10" t="s">
        <v>38</v>
      </c>
      <c r="B2" s="10" t="n">
        <v>5</v>
      </c>
      <c r="C2" s="10" t="n">
        <v>11</v>
      </c>
      <c r="D2" s="11" t="n">
        <v>5207.5</v>
      </c>
    </row>
    <row r="3" customFormat="false" ht="15" hidden="false" customHeight="false" outlineLevel="0" collapsed="false">
      <c r="A3" s="10" t="s">
        <v>42</v>
      </c>
      <c r="B3" s="10" t="n">
        <v>4</v>
      </c>
      <c r="C3" s="10" t="n">
        <v>10</v>
      </c>
      <c r="D3" s="11" t="n">
        <v>2451</v>
      </c>
    </row>
    <row r="4" customFormat="false" ht="15" hidden="false" customHeight="false" outlineLevel="0" collapsed="false">
      <c r="A4" s="10" t="s">
        <v>46</v>
      </c>
      <c r="B4" s="10" t="n">
        <v>4</v>
      </c>
      <c r="C4" s="10" t="n">
        <v>9</v>
      </c>
      <c r="D4" s="11" t="n">
        <v>2378.5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2026-10-01T22:43:27Z</dcterms:created>
  <dc:creator>openpyxl</dc:creator>
  <dc:description/>
  <dc:language>en-US</dc:language>
  <cp:lastModifiedBy/>
  <dcterms:modified xsi:type="dcterms:W3CDTF">2026-10-01T22:43:27Z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